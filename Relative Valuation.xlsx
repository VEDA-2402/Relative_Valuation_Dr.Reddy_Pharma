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eda vedhya\Desktop\"/>
    </mc:Choice>
  </mc:AlternateContent>
  <xr:revisionPtr revIDLastSave="0" documentId="13_ncr:1_{83EC5DEF-B92F-4961-8FD2-911E2A6931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s val.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1" l="1"/>
  <c r="O30" i="1"/>
  <c r="M30" i="1"/>
  <c r="N28" i="1"/>
  <c r="O28" i="1"/>
  <c r="M28" i="1"/>
  <c r="O12" i="1"/>
  <c r="O13" i="1"/>
  <c r="O14" i="1"/>
  <c r="O15" i="1"/>
  <c r="O16" i="1"/>
  <c r="N8" i="1"/>
  <c r="N9" i="1"/>
  <c r="N10" i="1"/>
  <c r="N11" i="1"/>
  <c r="N12" i="1"/>
  <c r="N13" i="1"/>
  <c r="N14" i="1"/>
  <c r="N15" i="1"/>
  <c r="N16" i="1"/>
  <c r="N17" i="1"/>
  <c r="M9" i="1"/>
  <c r="M10" i="1"/>
  <c r="M11" i="1"/>
  <c r="M12" i="1"/>
  <c r="M13" i="1"/>
  <c r="M14" i="1"/>
  <c r="M15" i="1"/>
  <c r="M16" i="1"/>
  <c r="M17" i="1"/>
  <c r="M8" i="1"/>
  <c r="E10" i="1"/>
  <c r="O10" i="1" s="1"/>
  <c r="E11" i="1"/>
  <c r="O11" i="1" s="1"/>
  <c r="E12" i="1"/>
  <c r="E13" i="1"/>
  <c r="E8" i="1"/>
  <c r="O8" i="1" s="1"/>
  <c r="E14" i="1"/>
  <c r="E15" i="1"/>
  <c r="E16" i="1"/>
  <c r="E17" i="1"/>
  <c r="O17" i="1" s="1"/>
  <c r="E9" i="1"/>
  <c r="O9" i="1" s="1"/>
  <c r="I18" i="2"/>
  <c r="I19" i="2"/>
  <c r="I20" i="2"/>
  <c r="I21" i="2"/>
  <c r="I22" i="2"/>
  <c r="I23" i="2"/>
  <c r="I28" i="2"/>
  <c r="I29" i="2"/>
  <c r="I30" i="2"/>
  <c r="I31" i="2"/>
  <c r="I34" i="2"/>
  <c r="I35" i="2"/>
  <c r="I36" i="2"/>
  <c r="I2" i="2"/>
  <c r="F3" i="2"/>
  <c r="I3" i="2" s="1"/>
  <c r="F4" i="2"/>
  <c r="I4" i="2" s="1"/>
  <c r="F5" i="2"/>
  <c r="I5" i="2" s="1"/>
  <c r="F6" i="2"/>
  <c r="I6" i="2" s="1"/>
  <c r="F7" i="2"/>
  <c r="I7" i="2" s="1"/>
  <c r="F8" i="2"/>
  <c r="I8" i="2" s="1"/>
  <c r="F9" i="2"/>
  <c r="I9" i="2" s="1"/>
  <c r="F10" i="2"/>
  <c r="I10" i="2" s="1"/>
  <c r="F11" i="2"/>
  <c r="I11" i="2" s="1"/>
  <c r="F17" i="2"/>
  <c r="I17" i="2" s="1"/>
  <c r="F18" i="2"/>
  <c r="F19" i="2"/>
  <c r="F20" i="2"/>
  <c r="F21" i="2"/>
  <c r="F22" i="2"/>
  <c r="F23" i="2"/>
  <c r="F24" i="2"/>
  <c r="I24" i="2" s="1"/>
  <c r="F25" i="2"/>
  <c r="I25" i="2" s="1"/>
  <c r="F26" i="2"/>
  <c r="I26" i="2" s="1"/>
  <c r="F27" i="2"/>
  <c r="I27" i="2" s="1"/>
  <c r="F28" i="2"/>
  <c r="F29" i="2"/>
  <c r="F30" i="2"/>
  <c r="F31" i="2"/>
  <c r="F32" i="2"/>
  <c r="I32" i="2" s="1"/>
  <c r="F33" i="2"/>
  <c r="I33" i="2" s="1"/>
  <c r="F34" i="2"/>
  <c r="F35" i="2"/>
  <c r="F36" i="2"/>
  <c r="F2" i="2"/>
  <c r="M20" i="1" l="1"/>
  <c r="N19" i="1"/>
  <c r="O19" i="1"/>
  <c r="M19" i="1"/>
  <c r="N20" i="1"/>
  <c r="M22" i="1"/>
  <c r="M27" i="1" s="1"/>
  <c r="M29" i="1" s="1"/>
  <c r="M32" i="1" s="1"/>
  <c r="M34" i="1" s="1"/>
  <c r="M23" i="1"/>
  <c r="O23" i="1"/>
  <c r="O22" i="1"/>
  <c r="O29" i="1" s="1"/>
  <c r="N22" i="1"/>
  <c r="N27" i="1" s="1"/>
  <c r="N29" i="1" s="1"/>
  <c r="N32" i="1" s="1"/>
  <c r="N34" i="1" s="1"/>
  <c r="O20" i="1"/>
  <c r="M21" i="1"/>
  <c r="M24" i="1"/>
  <c r="N24" i="1"/>
  <c r="N23" i="1"/>
  <c r="O21" i="1"/>
  <c r="N21" i="1"/>
  <c r="O24" i="1"/>
  <c r="O27" i="1" l="1"/>
  <c r="O32" i="1"/>
  <c r="O34" i="1" s="1"/>
</calcChain>
</file>

<file path=xl/sharedStrings.xml><?xml version="1.0" encoding="utf-8"?>
<sst xmlns="http://schemas.openxmlformats.org/spreadsheetml/2006/main" count="89" uniqueCount="75">
  <si>
    <t xml:space="preserve">comparable company valuation </t>
  </si>
  <si>
    <t xml:space="preserve">Share price </t>
  </si>
  <si>
    <t xml:space="preserve">Shares outstanding </t>
  </si>
  <si>
    <t xml:space="preserve">equity value </t>
  </si>
  <si>
    <t xml:space="preserve">net debt </t>
  </si>
  <si>
    <t xml:space="preserve">enterprise value </t>
  </si>
  <si>
    <t xml:space="preserve">Market data </t>
  </si>
  <si>
    <t>Indian Pharma Sector</t>
  </si>
  <si>
    <t xml:space="preserve">Revenue </t>
  </si>
  <si>
    <t xml:space="preserve">Financials </t>
  </si>
  <si>
    <t xml:space="preserve">Valuation </t>
  </si>
  <si>
    <t>EBIT</t>
  </si>
  <si>
    <t>Sun Pharma.Inds.</t>
  </si>
  <si>
    <t>Divi's Lab.</t>
  </si>
  <si>
    <t>Cipla</t>
  </si>
  <si>
    <t>Torrent Pharma.</t>
  </si>
  <si>
    <t>Mankind Pharma</t>
  </si>
  <si>
    <t>Dr Reddy's Labs</t>
  </si>
  <si>
    <t>Zydus Lifesci.</t>
  </si>
  <si>
    <t>Lupin</t>
  </si>
  <si>
    <t>Abbott India</t>
  </si>
  <si>
    <t>Aurobindo Pharma</t>
  </si>
  <si>
    <t>Glenmark Pharma.</t>
  </si>
  <si>
    <t>Alkem Lab</t>
  </si>
  <si>
    <t>Glaxosmi. Pharma</t>
  </si>
  <si>
    <t>Biocon</t>
  </si>
  <si>
    <t>Laurus Labs</t>
  </si>
  <si>
    <t>Name</t>
  </si>
  <si>
    <t>Cohance Life</t>
  </si>
  <si>
    <t>Ipca Labs.</t>
  </si>
  <si>
    <t>Ajanta Pharma</t>
  </si>
  <si>
    <t>Gland Pharma</t>
  </si>
  <si>
    <t>Wockhardt</t>
  </si>
  <si>
    <t>Piramal Pharma</t>
  </si>
  <si>
    <t>Pfizer</t>
  </si>
  <si>
    <t>J B Chemicals &amp;</t>
  </si>
  <si>
    <t>Emcure Pharma</t>
  </si>
  <si>
    <t>ERIS Lifescience</t>
  </si>
  <si>
    <t>Astrazeneca Phar</t>
  </si>
  <si>
    <t>OneSource Speci.</t>
  </si>
  <si>
    <t>Alembic Pharma</t>
  </si>
  <si>
    <t>Concord Biotech</t>
  </si>
  <si>
    <t>Jubilant Pharmo</t>
  </si>
  <si>
    <t>CMP Rs.</t>
  </si>
  <si>
    <t>No. Eq. Shares Cr.</t>
  </si>
  <si>
    <t>Debt Rs.Cr.</t>
  </si>
  <si>
    <t>Cash End Rs.Cr.</t>
  </si>
  <si>
    <t>Sales Rs.Cr.</t>
  </si>
  <si>
    <t>NP 12M Rs.Cr.</t>
  </si>
  <si>
    <t>EBIT 12M Rs.Cr.</t>
  </si>
  <si>
    <t xml:space="preserve">Market value </t>
  </si>
  <si>
    <t>EV</t>
  </si>
  <si>
    <t xml:space="preserve">Company </t>
  </si>
  <si>
    <t>EV/ Revenue</t>
  </si>
  <si>
    <t>EV/EBIT</t>
  </si>
  <si>
    <t>P/E</t>
  </si>
  <si>
    <t xml:space="preserve">High </t>
  </si>
  <si>
    <t xml:space="preserve">75th percentile </t>
  </si>
  <si>
    <t xml:space="preserve">Average </t>
  </si>
  <si>
    <t xml:space="preserve">Median </t>
  </si>
  <si>
    <t xml:space="preserve">25th Percentile </t>
  </si>
  <si>
    <t xml:space="preserve">Low </t>
  </si>
  <si>
    <t>Dr Reddy' Labs Comparable Valuation</t>
  </si>
  <si>
    <t xml:space="preserve">Implied enterprise value </t>
  </si>
  <si>
    <t xml:space="preserve">Net debt </t>
  </si>
  <si>
    <t xml:space="preserve">Implied market value </t>
  </si>
  <si>
    <t xml:space="preserve">Implied value per share </t>
  </si>
  <si>
    <t>Figures in Cr.</t>
  </si>
  <si>
    <t xml:space="preserve">Net Income </t>
  </si>
  <si>
    <t>Sources: Screener.in (financials &amp; market data), Yahoo Finance (share price validation), Annual Reports (company-level financial disclosures)</t>
  </si>
  <si>
    <t>Disclaimer: This analysis is for educational purposes only and does not constitute investment advice or a recommendation to buy or sell any securities.</t>
  </si>
  <si>
    <t>Valuation results are based on historical data and standard assumptions. Actual market outcomes may differ materially.</t>
  </si>
  <si>
    <t>Footnotes</t>
  </si>
  <si>
    <t>Assumptions: Valuation based on trailing twelve-month (TTM) financials; peer selection driven by market capitalization and business similarity</t>
  </si>
  <si>
    <r>
      <t xml:space="preserve">Prepared by </t>
    </r>
    <r>
      <rPr>
        <b/>
        <i/>
        <sz val="9"/>
        <color theme="1"/>
        <rFont val="Calibri"/>
        <family val="2"/>
        <scheme val="minor"/>
      </rPr>
      <t>Veda Vedhya</t>
    </r>
    <r>
      <rPr>
        <i/>
        <sz val="9"/>
        <color theme="1"/>
        <rFont val="Calibri"/>
        <family val="2"/>
        <scheme val="minor"/>
      </rPr>
      <t xml:space="preserve"> – For educational use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</si>
</sst>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x"/>
  </numFmts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2" fontId="0" fillId="3" borderId="3" xfId="0" applyNumberFormat="1" applyFill="1" applyBorder="1"/>
    <xf numFmtId="0" fontId="0" fillId="3" borderId="3" xfId="0" applyFill="1" applyBorder="1" applyAlignment="1">
      <alignment horizontal="right"/>
    </xf>
    <xf numFmtId="164" fontId="0" fillId="3" borderId="3" xfId="0" applyNumberFormat="1" applyFill="1" applyBorder="1" applyAlignment="1">
      <alignment horizontal="right"/>
    </xf>
    <xf numFmtId="0" fontId="0" fillId="0" borderId="3" xfId="0" applyBorder="1" applyAlignment="1">
      <alignment horizontal="left"/>
    </xf>
    <xf numFmtId="2" fontId="0" fillId="0" borderId="3" xfId="0" applyNumberFormat="1" applyBorder="1"/>
    <xf numFmtId="0" fontId="0" fillId="0" borderId="3" xfId="0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0" fillId="0" borderId="3" xfId="0" applyBorder="1"/>
    <xf numFmtId="0" fontId="2" fillId="0" borderId="0" xfId="0" applyFont="1"/>
    <xf numFmtId="0" fontId="0" fillId="3" borderId="4" xfId="0" applyFill="1" applyBorder="1" applyAlignment="1">
      <alignment horizontal="left"/>
    </xf>
    <xf numFmtId="0" fontId="0" fillId="3" borderId="4" xfId="0" applyFill="1" applyBorder="1"/>
    <xf numFmtId="164" fontId="0" fillId="3" borderId="4" xfId="0" applyNumberFormat="1" applyFill="1" applyBorder="1"/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/>
    <xf numFmtId="164" fontId="4" fillId="3" borderId="4" xfId="0" applyNumberFormat="1" applyFont="1" applyFill="1" applyBorder="1"/>
    <xf numFmtId="0" fontId="4" fillId="3" borderId="3" xfId="0" applyFont="1" applyFill="1" applyBorder="1"/>
    <xf numFmtId="0" fontId="5" fillId="0" borderId="1" xfId="0" applyFont="1" applyBorder="1" applyAlignment="1">
      <alignment horizontal="right"/>
    </xf>
    <xf numFmtId="0" fontId="0" fillId="0" borderId="5" xfId="0" applyBorder="1"/>
    <xf numFmtId="2" fontId="4" fillId="3" borderId="3" xfId="0" applyNumberFormat="1" applyFont="1" applyFill="1" applyBorder="1"/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showGridLines="0" tabSelected="1" topLeftCell="A12" zoomScaleNormal="100" workbookViewId="0">
      <selection activeCell="F35" sqref="F35"/>
    </sheetView>
  </sheetViews>
  <sheetFormatPr defaultRowHeight="14.4" x14ac:dyDescent="0.3"/>
  <cols>
    <col min="1" max="1" width="1.88671875" customWidth="1"/>
    <col min="2" max="2" width="16.21875" bestFit="1" customWidth="1"/>
    <col min="3" max="3" width="9.109375" customWidth="1"/>
    <col min="4" max="4" width="13.6640625" customWidth="1"/>
    <col min="5" max="5" width="9.44140625" customWidth="1"/>
    <col min="6" max="6" width="8.21875" bestFit="1" customWidth="1"/>
    <col min="7" max="7" width="12.109375" customWidth="1"/>
    <col min="8" max="8" width="1.88671875" customWidth="1"/>
    <col min="11" max="11" width="9.21875" customWidth="1"/>
    <col min="12" max="12" width="1.88671875" customWidth="1"/>
    <col min="13" max="14" width="12" bestFit="1" customWidth="1"/>
    <col min="15" max="15" width="12" customWidth="1"/>
  </cols>
  <sheetData>
    <row r="1" spans="1:15" ht="25.8" x14ac:dyDescent="0.5">
      <c r="A1" s="1"/>
      <c r="B1" s="32" t="s">
        <v>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3" spans="1:15" ht="15" thickBot="1" x14ac:dyDescent="0.35">
      <c r="B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25" t="s">
        <v>67</v>
      </c>
    </row>
    <row r="4" spans="1:15" ht="5.4" customHeight="1" thickTop="1" x14ac:dyDescent="0.3"/>
    <row r="5" spans="1:15" x14ac:dyDescent="0.3">
      <c r="B5" s="6"/>
      <c r="C5" s="34" t="s">
        <v>6</v>
      </c>
      <c r="D5" s="34"/>
      <c r="E5" s="34"/>
      <c r="F5" s="34"/>
      <c r="G5" s="34"/>
      <c r="H5" s="3"/>
      <c r="I5" s="34" t="s">
        <v>9</v>
      </c>
      <c r="J5" s="34"/>
      <c r="K5" s="34"/>
      <c r="L5" s="3"/>
      <c r="M5" s="34" t="s">
        <v>10</v>
      </c>
      <c r="N5" s="34"/>
      <c r="O5" s="34"/>
    </row>
    <row r="6" spans="1:15" ht="28.8" x14ac:dyDescent="0.3">
      <c r="B6" s="6" t="s">
        <v>52</v>
      </c>
      <c r="C6" s="28" t="s">
        <v>1</v>
      </c>
      <c r="D6" s="28" t="s">
        <v>2</v>
      </c>
      <c r="E6" s="28" t="s">
        <v>3</v>
      </c>
      <c r="F6" s="29" t="s">
        <v>4</v>
      </c>
      <c r="G6" s="28" t="s">
        <v>5</v>
      </c>
      <c r="H6" s="31"/>
      <c r="I6" s="30" t="s">
        <v>8</v>
      </c>
      <c r="J6" s="29" t="s">
        <v>11</v>
      </c>
      <c r="K6" s="28" t="s">
        <v>68</v>
      </c>
      <c r="L6" s="31"/>
      <c r="M6" s="30" t="s">
        <v>53</v>
      </c>
      <c r="N6" s="30" t="s">
        <v>54</v>
      </c>
      <c r="O6" s="29" t="s">
        <v>55</v>
      </c>
    </row>
    <row r="7" spans="1:15" ht="4.2" customHeight="1" x14ac:dyDescent="0.3">
      <c r="B7" s="7"/>
    </row>
    <row r="8" spans="1:15" x14ac:dyDescent="0.3">
      <c r="B8" s="8" t="s">
        <v>17</v>
      </c>
      <c r="C8" s="9">
        <v>1254.7</v>
      </c>
      <c r="D8" s="9">
        <v>83.46</v>
      </c>
      <c r="E8" s="10">
        <f>C8*D8</f>
        <v>104717.262</v>
      </c>
      <c r="F8" s="9">
        <v>4676.6000000000004</v>
      </c>
      <c r="G8" s="9">
        <v>106933.66200000001</v>
      </c>
      <c r="H8" s="10"/>
      <c r="I8" s="10">
        <v>32643.9</v>
      </c>
      <c r="J8" s="10">
        <v>7811.2</v>
      </c>
      <c r="K8" s="10">
        <v>5725.2</v>
      </c>
      <c r="L8" s="10"/>
      <c r="M8" s="11">
        <f>$G8/I8</f>
        <v>3.2757624548537403</v>
      </c>
      <c r="N8" s="11">
        <f>$G8/J8</f>
        <v>13.689786716509628</v>
      </c>
      <c r="O8" s="11">
        <f>E8/K8</f>
        <v>18.290585831062671</v>
      </c>
    </row>
    <row r="9" spans="1:15" x14ac:dyDescent="0.3">
      <c r="B9" s="12" t="s">
        <v>12</v>
      </c>
      <c r="C9" s="13">
        <v>1672</v>
      </c>
      <c r="D9" s="13">
        <v>239.93</v>
      </c>
      <c r="E9" s="14">
        <f>C9*D9</f>
        <v>401162.96</v>
      </c>
      <c r="F9" s="13">
        <v>2362.19</v>
      </c>
      <c r="G9" s="13">
        <v>392193.53</v>
      </c>
      <c r="H9" s="14"/>
      <c r="I9" s="14">
        <v>52578.44</v>
      </c>
      <c r="J9" s="14">
        <v>14677.74</v>
      </c>
      <c r="K9" s="14">
        <v>10964.75</v>
      </c>
      <c r="L9" s="14"/>
      <c r="M9" s="15">
        <f t="shared" ref="M9:N17" si="0">$G9/I9</f>
        <v>7.459208184951855</v>
      </c>
      <c r="N9" s="15">
        <f t="shared" si="0"/>
        <v>26.720294132475438</v>
      </c>
      <c r="O9" s="15">
        <f t="shared" ref="O9:O17" si="1">E9/K9</f>
        <v>36.586603433730822</v>
      </c>
    </row>
    <row r="10" spans="1:15" x14ac:dyDescent="0.3">
      <c r="B10" s="12" t="s">
        <v>13</v>
      </c>
      <c r="C10" s="13">
        <v>6835</v>
      </c>
      <c r="D10" s="13">
        <v>26.55</v>
      </c>
      <c r="E10" s="14">
        <f t="shared" ref="E10:E17" si="2">C10*D10</f>
        <v>181469.25</v>
      </c>
      <c r="F10" s="13">
        <v>4</v>
      </c>
      <c r="G10" s="13">
        <v>177758.25</v>
      </c>
      <c r="H10" s="14"/>
      <c r="I10" s="14">
        <v>9360</v>
      </c>
      <c r="J10" s="14">
        <v>2918</v>
      </c>
      <c r="K10" s="14">
        <v>2191</v>
      </c>
      <c r="L10" s="14"/>
      <c r="M10" s="15">
        <f t="shared" si="0"/>
        <v>18.991266025641025</v>
      </c>
      <c r="N10" s="15">
        <f t="shared" si="0"/>
        <v>60.917837559972583</v>
      </c>
      <c r="O10" s="15">
        <f t="shared" si="1"/>
        <v>82.824851665905982</v>
      </c>
    </row>
    <row r="11" spans="1:15" x14ac:dyDescent="0.3">
      <c r="B11" s="12" t="s">
        <v>14</v>
      </c>
      <c r="C11" s="13">
        <v>1485</v>
      </c>
      <c r="D11" s="13">
        <v>80.78</v>
      </c>
      <c r="E11" s="14">
        <f t="shared" si="2"/>
        <v>119958.3</v>
      </c>
      <c r="F11" s="13">
        <v>438.19</v>
      </c>
      <c r="G11" s="13">
        <v>119596.65000000001</v>
      </c>
      <c r="H11" s="14"/>
      <c r="I11" s="14">
        <v>27547.62</v>
      </c>
      <c r="J11" s="14">
        <v>6713.61</v>
      </c>
      <c r="K11" s="14">
        <v>5269.2</v>
      </c>
      <c r="L11" s="14"/>
      <c r="M11" s="15">
        <f t="shared" si="0"/>
        <v>4.3414512760085993</v>
      </c>
      <c r="N11" s="15">
        <f t="shared" si="0"/>
        <v>17.81405979793286</v>
      </c>
      <c r="O11" s="15">
        <f t="shared" si="1"/>
        <v>22.76594169892963</v>
      </c>
    </row>
    <row r="12" spans="1:15" x14ac:dyDescent="0.3">
      <c r="B12" s="12" t="s">
        <v>15</v>
      </c>
      <c r="C12" s="13">
        <v>3314.2</v>
      </c>
      <c r="D12" s="13">
        <v>33.840000000000003</v>
      </c>
      <c r="E12" s="14">
        <f t="shared" si="2"/>
        <v>112152.52800000001</v>
      </c>
      <c r="F12" s="13">
        <v>3202.32</v>
      </c>
      <c r="G12" s="13">
        <v>114775.38800000001</v>
      </c>
      <c r="H12" s="14"/>
      <c r="I12" s="14">
        <v>11516.09</v>
      </c>
      <c r="J12" s="14">
        <v>2931.26</v>
      </c>
      <c r="K12" s="14">
        <v>1911.25</v>
      </c>
      <c r="L12" s="14"/>
      <c r="M12" s="15">
        <f t="shared" si="0"/>
        <v>9.9665240546053404</v>
      </c>
      <c r="N12" s="15">
        <f t="shared" si="0"/>
        <v>39.155649106527569</v>
      </c>
      <c r="O12" s="15">
        <f t="shared" si="1"/>
        <v>58.680197776324398</v>
      </c>
    </row>
    <row r="13" spans="1:15" x14ac:dyDescent="0.3">
      <c r="B13" s="12" t="s">
        <v>16</v>
      </c>
      <c r="C13" s="13">
        <v>2578.3000000000002</v>
      </c>
      <c r="D13" s="13">
        <v>41.27</v>
      </c>
      <c r="E13" s="14">
        <f t="shared" si="2"/>
        <v>106406.44100000002</v>
      </c>
      <c r="F13" s="13">
        <v>8511.4500000000007</v>
      </c>
      <c r="G13" s="13">
        <v>114363.39100000002</v>
      </c>
      <c r="H13" s="14"/>
      <c r="I13" s="14">
        <v>12207.44</v>
      </c>
      <c r="J13" s="14">
        <v>2945.74</v>
      </c>
      <c r="K13" s="14">
        <v>2011.12</v>
      </c>
      <c r="L13" s="14"/>
      <c r="M13" s="15">
        <f t="shared" si="0"/>
        <v>9.3683352938863518</v>
      </c>
      <c r="N13" s="15">
        <f t="shared" si="0"/>
        <v>38.823314684934864</v>
      </c>
      <c r="O13" s="15">
        <f t="shared" si="1"/>
        <v>52.909046203110719</v>
      </c>
    </row>
    <row r="14" spans="1:15" x14ac:dyDescent="0.3">
      <c r="B14" s="12" t="s">
        <v>18</v>
      </c>
      <c r="C14" s="13">
        <v>979.6</v>
      </c>
      <c r="D14" s="13">
        <v>100.62</v>
      </c>
      <c r="E14" s="14">
        <f t="shared" si="2"/>
        <v>98567.352000000014</v>
      </c>
      <c r="F14" s="13">
        <v>3213.2</v>
      </c>
      <c r="G14" s="13">
        <v>98823.752000000008</v>
      </c>
      <c r="H14" s="14"/>
      <c r="I14" s="14">
        <v>23241.5</v>
      </c>
      <c r="J14" s="14">
        <v>6412.2</v>
      </c>
      <c r="K14" s="14">
        <v>4672.6000000000004</v>
      </c>
      <c r="L14" s="14"/>
      <c r="M14" s="15">
        <f t="shared" si="0"/>
        <v>4.252038465675624</v>
      </c>
      <c r="N14" s="15">
        <f t="shared" si="0"/>
        <v>15.411832444402858</v>
      </c>
      <c r="O14" s="15">
        <f t="shared" si="1"/>
        <v>21.094754954415102</v>
      </c>
    </row>
    <row r="15" spans="1:15" x14ac:dyDescent="0.3">
      <c r="B15" s="12" t="s">
        <v>19</v>
      </c>
      <c r="C15" s="13">
        <v>1894.7</v>
      </c>
      <c r="D15" s="13">
        <v>45.67</v>
      </c>
      <c r="E15" s="14">
        <f t="shared" si="2"/>
        <v>86530.949000000008</v>
      </c>
      <c r="F15" s="13">
        <v>5447.77</v>
      </c>
      <c r="G15" s="13">
        <v>88836.38900000001</v>
      </c>
      <c r="H15" s="14"/>
      <c r="I15" s="14">
        <v>22707.9</v>
      </c>
      <c r="J15" s="14">
        <v>4309.87</v>
      </c>
      <c r="K15" s="14">
        <v>3306.26</v>
      </c>
      <c r="L15" s="14"/>
      <c r="M15" s="15">
        <f t="shared" si="0"/>
        <v>3.9121358205734569</v>
      </c>
      <c r="N15" s="15">
        <f t="shared" si="0"/>
        <v>20.61231290038911</v>
      </c>
      <c r="O15" s="15">
        <f t="shared" si="1"/>
        <v>26.171852485890401</v>
      </c>
    </row>
    <row r="16" spans="1:15" x14ac:dyDescent="0.3">
      <c r="B16" s="12" t="s">
        <v>20</v>
      </c>
      <c r="C16" s="13">
        <v>34420</v>
      </c>
      <c r="D16" s="13">
        <v>2.12</v>
      </c>
      <c r="E16" s="14">
        <f t="shared" si="2"/>
        <v>72970.400000000009</v>
      </c>
      <c r="F16" s="13">
        <v>196.67</v>
      </c>
      <c r="G16" s="13">
        <v>71539.150000000009</v>
      </c>
      <c r="H16" s="14"/>
      <c r="I16" s="14">
        <v>6409.15</v>
      </c>
      <c r="J16" s="14">
        <v>1898.38</v>
      </c>
      <c r="K16" s="14">
        <v>1414.44</v>
      </c>
      <c r="L16" s="14"/>
      <c r="M16" s="15">
        <f t="shared" si="0"/>
        <v>11.162033967062717</v>
      </c>
      <c r="N16" s="15">
        <f t="shared" si="0"/>
        <v>37.684315047566876</v>
      </c>
      <c r="O16" s="15">
        <f t="shared" si="1"/>
        <v>51.589604366392358</v>
      </c>
    </row>
    <row r="17" spans="1:15" x14ac:dyDescent="0.3">
      <c r="B17" s="12" t="s">
        <v>21</v>
      </c>
      <c r="C17" s="13">
        <v>1124.8</v>
      </c>
      <c r="D17" s="13">
        <v>58.59</v>
      </c>
      <c r="E17" s="14">
        <f t="shared" si="2"/>
        <v>65902.032000000007</v>
      </c>
      <c r="F17" s="13">
        <v>8262.8700000000008</v>
      </c>
      <c r="G17" s="13">
        <v>65929.411999999997</v>
      </c>
      <c r="H17" s="14"/>
      <c r="I17" s="14">
        <v>31723.73</v>
      </c>
      <c r="J17" s="14">
        <v>5523.53</v>
      </c>
      <c r="K17" s="14">
        <v>3483.57</v>
      </c>
      <c r="L17" s="16"/>
      <c r="M17" s="15">
        <f t="shared" si="0"/>
        <v>2.0782364494969539</v>
      </c>
      <c r="N17" s="15">
        <f t="shared" si="0"/>
        <v>11.936101007869967</v>
      </c>
      <c r="O17" s="15">
        <f t="shared" si="1"/>
        <v>18.917958301397704</v>
      </c>
    </row>
    <row r="18" spans="1:15" ht="7.2" customHeight="1" x14ac:dyDescent="0.3"/>
    <row r="19" spans="1:15" x14ac:dyDescent="0.3">
      <c r="B19" s="18" t="s">
        <v>56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0">
        <f>MAX(M8:M17)</f>
        <v>18.991266025641025</v>
      </c>
      <c r="N19" s="20">
        <f t="shared" ref="N19:O19" si="3">MAX(N8:N17)</f>
        <v>60.917837559972583</v>
      </c>
      <c r="O19" s="20">
        <f t="shared" si="3"/>
        <v>82.824851665905982</v>
      </c>
    </row>
    <row r="20" spans="1:15" x14ac:dyDescent="0.3">
      <c r="B20" s="18" t="s">
        <v>57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>
        <f>QUARTILE(M8:M17,3)</f>
        <v>9.8169768644255928</v>
      </c>
      <c r="N20" s="20">
        <f t="shared" ref="N20:O20" si="4">QUARTILE(N8:N17,3)</f>
        <v>38.538564775592867</v>
      </c>
      <c r="O20" s="20">
        <f t="shared" si="4"/>
        <v>52.579185743931127</v>
      </c>
    </row>
    <row r="21" spans="1:15" x14ac:dyDescent="0.3">
      <c r="B21" s="21" t="s">
        <v>58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>
        <f>AVERAGE(M8:M17)</f>
        <v>7.4806991992755671</v>
      </c>
      <c r="N21" s="23">
        <f t="shared" ref="N21:O21" si="5">AVERAGE(N8:N17)</f>
        <v>28.276550339858176</v>
      </c>
      <c r="O21" s="23">
        <f t="shared" si="5"/>
        <v>38.983139671715982</v>
      </c>
    </row>
    <row r="22" spans="1:15" x14ac:dyDescent="0.3">
      <c r="B22" s="21" t="s">
        <v>59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>
        <f>MEDIAN(M8:M17)</f>
        <v>5.9003297304802267</v>
      </c>
      <c r="N22" s="23">
        <f t="shared" ref="N22:O22" si="6">MEDIAN(N8:N17)</f>
        <v>23.666303516432272</v>
      </c>
      <c r="O22" s="23">
        <f t="shared" si="6"/>
        <v>31.379227959810613</v>
      </c>
    </row>
    <row r="23" spans="1:15" x14ac:dyDescent="0.3">
      <c r="B23" s="18" t="s">
        <v>60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>
        <f>QUARTILE(M8:M17,1)</f>
        <v>3.9971114818489988</v>
      </c>
      <c r="N23" s="20">
        <f t="shared" ref="N23:O23" si="7">QUARTILE(N8:N17,1)</f>
        <v>16.012389282785357</v>
      </c>
      <c r="O23" s="20">
        <f t="shared" si="7"/>
        <v>21.512551640543734</v>
      </c>
    </row>
    <row r="24" spans="1:15" x14ac:dyDescent="0.3">
      <c r="B24" s="18" t="s">
        <v>61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>
        <f>MIN(M8:M17)</f>
        <v>2.0782364494969539</v>
      </c>
      <c r="N24" s="20">
        <f t="shared" ref="N24:O24" si="8">MIN(N8:N17)</f>
        <v>11.936101007869967</v>
      </c>
      <c r="O24" s="20">
        <f t="shared" si="8"/>
        <v>18.290585831062671</v>
      </c>
    </row>
    <row r="26" spans="1:15" x14ac:dyDescent="0.3">
      <c r="A26" s="17"/>
      <c r="B26" s="3" t="s">
        <v>62</v>
      </c>
      <c r="C26" s="3"/>
      <c r="D26" s="3"/>
      <c r="E26" s="2"/>
      <c r="F26" s="2"/>
      <c r="G26" s="2"/>
      <c r="H26" s="2"/>
      <c r="I26" s="2"/>
      <c r="J26" s="2"/>
      <c r="K26" s="2"/>
      <c r="L26" s="2"/>
      <c r="M26" s="4" t="s">
        <v>53</v>
      </c>
      <c r="N26" s="4" t="s">
        <v>54</v>
      </c>
      <c r="O26" s="3" t="s">
        <v>55</v>
      </c>
    </row>
    <row r="27" spans="1:15" x14ac:dyDescent="0.3">
      <c r="B27" s="16" t="s">
        <v>63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3">
        <f>M$22*I8</f>
        <v>192609.77368882348</v>
      </c>
      <c r="N27" s="13">
        <f>N$22*J8</f>
        <v>184862.23002755575</v>
      </c>
      <c r="O27" s="13">
        <f>'comps val.'!O29+'comps val.'!O28</f>
        <v>184328.95591550771</v>
      </c>
    </row>
    <row r="28" spans="1:15" x14ac:dyDescent="0.3">
      <c r="B28" s="16" t="s">
        <v>64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3">
        <f>$F$8</f>
        <v>4676.6000000000004</v>
      </c>
      <c r="N28" s="13">
        <f t="shared" ref="N28:O28" si="9">$F$8</f>
        <v>4676.6000000000004</v>
      </c>
      <c r="O28" s="13">
        <f t="shared" si="9"/>
        <v>4676.6000000000004</v>
      </c>
    </row>
    <row r="29" spans="1:15" x14ac:dyDescent="0.3">
      <c r="B29" s="16" t="s">
        <v>65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3">
        <f>M27-M28</f>
        <v>187933.17368882347</v>
      </c>
      <c r="N29" s="13">
        <f t="shared" ref="N29" si="10">N27-N28</f>
        <v>180185.63002755574</v>
      </c>
      <c r="O29" s="13">
        <f>O22*K8</f>
        <v>179652.35591550771</v>
      </c>
    </row>
    <row r="30" spans="1:15" x14ac:dyDescent="0.3">
      <c r="B30" s="16" t="s">
        <v>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3">
        <f>$D$8</f>
        <v>83.46</v>
      </c>
      <c r="N30" s="13">
        <f t="shared" ref="N30:O30" si="11">$D$8</f>
        <v>83.46</v>
      </c>
      <c r="O30" s="13">
        <f t="shared" si="11"/>
        <v>83.46</v>
      </c>
    </row>
    <row r="31" spans="1:15" ht="4.2" customHeight="1" x14ac:dyDescent="0.3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3"/>
      <c r="N31" s="13"/>
      <c r="O31" s="13"/>
    </row>
    <row r="32" spans="1:15" x14ac:dyDescent="0.3">
      <c r="B32" s="24" t="s">
        <v>66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7">
        <f>M29/M30</f>
        <v>2251.7753856796489</v>
      </c>
      <c r="N32" s="27">
        <f t="shared" ref="N32:O32" si="12">N29/N30</f>
        <v>2158.9459624677183</v>
      </c>
      <c r="O32" s="27">
        <f t="shared" si="12"/>
        <v>2152.5563852804662</v>
      </c>
    </row>
    <row r="33" spans="2:15" ht="3.6" customHeight="1" x14ac:dyDescent="0.3"/>
    <row r="34" spans="2:15" x14ac:dyDescent="0.3">
      <c r="M34" s="26" t="str">
        <f>IF(M32&gt;$C$8,"Undervalued","Overvalued")</f>
        <v>Undervalued</v>
      </c>
      <c r="N34" s="26" t="str">
        <f>IF(N32&gt;$C$8,"Undervalued","Overvalued")</f>
        <v>Undervalued</v>
      </c>
      <c r="O34" s="26" t="str">
        <f>IF(O32&gt;$C$8,"Undervalued","Overvalued")</f>
        <v>Undervalued</v>
      </c>
    </row>
    <row r="35" spans="2:15" x14ac:dyDescent="0.3">
      <c r="B35" s="35" t="s">
        <v>72</v>
      </c>
    </row>
    <row r="36" spans="2:15" x14ac:dyDescent="0.3">
      <c r="B36" s="37" t="s">
        <v>74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spans="2:15" x14ac:dyDescent="0.3">
      <c r="B37" s="37" t="s">
        <v>69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2:15" x14ac:dyDescent="0.3">
      <c r="B38" s="37" t="s">
        <v>70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2:15" x14ac:dyDescent="0.3">
      <c r="B39" s="36" t="s">
        <v>71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spans="2:15" x14ac:dyDescent="0.3">
      <c r="B40" s="37" t="s">
        <v>73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</sheetData>
  <mergeCells count="5">
    <mergeCell ref="B1:O1"/>
    <mergeCell ref="B3:N3"/>
    <mergeCell ref="M5:O5"/>
    <mergeCell ref="I5:K5"/>
    <mergeCell ref="C5:G5"/>
  </mergeCells>
  <pageMargins left="0.7" right="0.7" top="0.75" bottom="0.75" header="0.3" footer="0.3"/>
  <pageSetup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79ED-0135-46DD-BA51-A498DE80A7BD}">
  <dimension ref="B1:M36"/>
  <sheetViews>
    <sheetView workbookViewId="0">
      <selection activeCell="K2" sqref="K2:K11"/>
    </sheetView>
  </sheetViews>
  <sheetFormatPr defaultRowHeight="14.4" x14ac:dyDescent="0.3"/>
  <cols>
    <col min="3" max="3" width="16.21875" bestFit="1" customWidth="1"/>
    <col min="4" max="4" width="9" bestFit="1" customWidth="1"/>
    <col min="5" max="5" width="15.6640625" bestFit="1" customWidth="1"/>
    <col min="6" max="6" width="12.109375" bestFit="1" customWidth="1"/>
    <col min="7" max="7" width="10.109375" bestFit="1" customWidth="1"/>
    <col min="8" max="8" width="13.6640625" bestFit="1" customWidth="1"/>
    <col min="9" max="9" width="9.5546875" bestFit="1" customWidth="1"/>
    <col min="10" max="10" width="10.33203125" bestFit="1" customWidth="1"/>
    <col min="11" max="11" width="12.6640625" bestFit="1" customWidth="1"/>
    <col min="12" max="12" width="14.109375" bestFit="1" customWidth="1"/>
  </cols>
  <sheetData>
    <row r="1" spans="2:13" x14ac:dyDescent="0.3">
      <c r="C1" t="s">
        <v>27</v>
      </c>
      <c r="D1" t="s">
        <v>43</v>
      </c>
      <c r="E1" t="s">
        <v>44</v>
      </c>
      <c r="F1" t="s">
        <v>50</v>
      </c>
      <c r="G1" t="s">
        <v>45</v>
      </c>
      <c r="H1" t="s">
        <v>46</v>
      </c>
      <c r="I1" t="s">
        <v>51</v>
      </c>
      <c r="J1" t="s">
        <v>47</v>
      </c>
      <c r="K1" t="s">
        <v>48</v>
      </c>
      <c r="L1" t="s">
        <v>49</v>
      </c>
    </row>
    <row r="2" spans="2:13" x14ac:dyDescent="0.3">
      <c r="B2">
        <v>1</v>
      </c>
      <c r="C2" t="s">
        <v>12</v>
      </c>
      <c r="D2" s="5">
        <v>1672</v>
      </c>
      <c r="E2" s="5">
        <v>239.93</v>
      </c>
      <c r="F2" s="5">
        <f>E2*D2</f>
        <v>401162.96</v>
      </c>
      <c r="G2" s="5">
        <v>2362.19</v>
      </c>
      <c r="H2" s="5">
        <v>11331.62</v>
      </c>
      <c r="I2" s="5">
        <f>F2+G2-H2</f>
        <v>392193.53</v>
      </c>
      <c r="J2" s="5">
        <v>52578.44</v>
      </c>
      <c r="K2" s="5">
        <v>10964.75</v>
      </c>
      <c r="L2" s="5">
        <v>14677.74</v>
      </c>
      <c r="M2" s="5"/>
    </row>
    <row r="3" spans="2:13" x14ac:dyDescent="0.3">
      <c r="B3">
        <v>2</v>
      </c>
      <c r="C3" t="s">
        <v>13</v>
      </c>
      <c r="D3" s="5">
        <v>6835</v>
      </c>
      <c r="E3" s="5">
        <v>26.55</v>
      </c>
      <c r="F3" s="5">
        <f t="shared" ref="F3:F36" si="0">E3*D3</f>
        <v>181469.25</v>
      </c>
      <c r="G3" s="5">
        <v>4</v>
      </c>
      <c r="H3" s="5">
        <v>3715</v>
      </c>
      <c r="I3" s="5">
        <f t="shared" ref="I3:I36" si="1">F3+G3-H3</f>
        <v>177758.25</v>
      </c>
      <c r="J3" s="5">
        <v>9360</v>
      </c>
      <c r="K3" s="5">
        <v>2191</v>
      </c>
      <c r="L3" s="5">
        <v>2918</v>
      </c>
      <c r="M3" s="5"/>
    </row>
    <row r="4" spans="2:13" x14ac:dyDescent="0.3">
      <c r="B4">
        <v>3</v>
      </c>
      <c r="C4" t="s">
        <v>14</v>
      </c>
      <c r="D4" s="5">
        <v>1485</v>
      </c>
      <c r="E4" s="5">
        <v>80.78</v>
      </c>
      <c r="F4" s="5">
        <f t="shared" si="0"/>
        <v>119958.3</v>
      </c>
      <c r="G4" s="5">
        <v>438.19</v>
      </c>
      <c r="H4" s="5">
        <v>799.84</v>
      </c>
      <c r="I4" s="5">
        <f t="shared" si="1"/>
        <v>119596.65000000001</v>
      </c>
      <c r="J4" s="5">
        <v>27547.62</v>
      </c>
      <c r="K4" s="5">
        <v>5269.2</v>
      </c>
      <c r="L4" s="5">
        <v>6713.61</v>
      </c>
      <c r="M4" s="5"/>
    </row>
    <row r="5" spans="2:13" x14ac:dyDescent="0.3">
      <c r="B5">
        <v>4</v>
      </c>
      <c r="C5" t="s">
        <v>15</v>
      </c>
      <c r="D5" s="5">
        <v>3314.2</v>
      </c>
      <c r="E5" s="5">
        <v>33.840000000000003</v>
      </c>
      <c r="F5" s="5">
        <f t="shared" si="0"/>
        <v>112152.52800000001</v>
      </c>
      <c r="G5" s="5">
        <v>3202.32</v>
      </c>
      <c r="H5" s="5">
        <v>579.46</v>
      </c>
      <c r="I5" s="5">
        <f t="shared" si="1"/>
        <v>114775.38800000001</v>
      </c>
      <c r="J5" s="5">
        <v>11516.09</v>
      </c>
      <c r="K5" s="5">
        <v>1911.25</v>
      </c>
      <c r="L5" s="5">
        <v>2931.26</v>
      </c>
      <c r="M5" s="5"/>
    </row>
    <row r="6" spans="2:13" x14ac:dyDescent="0.3">
      <c r="B6">
        <v>5</v>
      </c>
      <c r="C6" t="s">
        <v>16</v>
      </c>
      <c r="D6" s="5">
        <v>2578.3000000000002</v>
      </c>
      <c r="E6" s="5">
        <v>41.27</v>
      </c>
      <c r="F6" s="5">
        <f t="shared" si="0"/>
        <v>106406.44100000002</v>
      </c>
      <c r="G6" s="5">
        <v>8511.4500000000007</v>
      </c>
      <c r="H6" s="5">
        <v>554.5</v>
      </c>
      <c r="I6" s="5">
        <f t="shared" si="1"/>
        <v>114363.39100000002</v>
      </c>
      <c r="J6" s="5">
        <v>12207.44</v>
      </c>
      <c r="K6" s="5">
        <v>2011.12</v>
      </c>
      <c r="L6" s="5">
        <v>2945.74</v>
      </c>
      <c r="M6" s="5"/>
    </row>
    <row r="7" spans="2:13" x14ac:dyDescent="0.3">
      <c r="B7">
        <v>6</v>
      </c>
      <c r="C7" t="s">
        <v>17</v>
      </c>
      <c r="D7" s="5">
        <v>1254.7</v>
      </c>
      <c r="E7" s="5">
        <v>83.46</v>
      </c>
      <c r="F7" s="5">
        <f t="shared" si="0"/>
        <v>104717.262</v>
      </c>
      <c r="G7" s="5">
        <v>4676.6000000000004</v>
      </c>
      <c r="H7" s="5">
        <v>2460.1999999999998</v>
      </c>
      <c r="I7" s="5">
        <f t="shared" si="1"/>
        <v>106933.66200000001</v>
      </c>
      <c r="J7" s="5">
        <v>32643.9</v>
      </c>
      <c r="K7" s="5">
        <v>5725.2</v>
      </c>
      <c r="L7" s="5">
        <v>7811.2</v>
      </c>
      <c r="M7" s="5"/>
    </row>
    <row r="8" spans="2:13" x14ac:dyDescent="0.3">
      <c r="B8">
        <v>7</v>
      </c>
      <c r="C8" t="s">
        <v>18</v>
      </c>
      <c r="D8" s="5">
        <v>979.6</v>
      </c>
      <c r="E8" s="5">
        <v>100.62</v>
      </c>
      <c r="F8" s="5">
        <f t="shared" si="0"/>
        <v>98567.352000000014</v>
      </c>
      <c r="G8" s="5">
        <v>3213.2</v>
      </c>
      <c r="H8" s="5">
        <v>2956.8</v>
      </c>
      <c r="I8" s="5">
        <f t="shared" si="1"/>
        <v>98823.752000000008</v>
      </c>
      <c r="J8" s="5">
        <v>23241.5</v>
      </c>
      <c r="K8" s="5">
        <v>4672.6000000000004</v>
      </c>
      <c r="L8" s="5">
        <v>6412.2</v>
      </c>
      <c r="M8" s="5"/>
    </row>
    <row r="9" spans="2:13" x14ac:dyDescent="0.3">
      <c r="B9">
        <v>8</v>
      </c>
      <c r="C9" t="s">
        <v>19</v>
      </c>
      <c r="D9" s="5">
        <v>1894.7</v>
      </c>
      <c r="E9" s="5">
        <v>45.67</v>
      </c>
      <c r="F9" s="5">
        <f t="shared" si="0"/>
        <v>86530.949000000008</v>
      </c>
      <c r="G9" s="5">
        <v>5447.77</v>
      </c>
      <c r="H9" s="5">
        <v>3142.33</v>
      </c>
      <c r="I9" s="5">
        <f t="shared" si="1"/>
        <v>88836.38900000001</v>
      </c>
      <c r="J9" s="5">
        <v>22707.9</v>
      </c>
      <c r="K9" s="5">
        <v>3306.26</v>
      </c>
      <c r="L9" s="5">
        <v>4309.87</v>
      </c>
      <c r="M9" s="5"/>
    </row>
    <row r="10" spans="2:13" x14ac:dyDescent="0.3">
      <c r="B10">
        <v>9</v>
      </c>
      <c r="C10" t="s">
        <v>20</v>
      </c>
      <c r="D10" s="5">
        <v>34420</v>
      </c>
      <c r="E10" s="5">
        <v>2.12</v>
      </c>
      <c r="F10" s="5">
        <f t="shared" si="0"/>
        <v>72970.400000000009</v>
      </c>
      <c r="G10" s="5">
        <v>196.67</v>
      </c>
      <c r="H10" s="5">
        <v>1627.92</v>
      </c>
      <c r="I10" s="5">
        <f t="shared" si="1"/>
        <v>71539.150000000009</v>
      </c>
      <c r="J10" s="5">
        <v>6409.15</v>
      </c>
      <c r="K10" s="5">
        <v>1414.44</v>
      </c>
      <c r="L10" s="5">
        <v>1898.38</v>
      </c>
      <c r="M10" s="5"/>
    </row>
    <row r="11" spans="2:13" x14ac:dyDescent="0.3">
      <c r="B11">
        <v>10</v>
      </c>
      <c r="C11" t="s">
        <v>21</v>
      </c>
      <c r="D11" s="5">
        <v>1124.8</v>
      </c>
      <c r="E11" s="5">
        <v>58.59</v>
      </c>
      <c r="F11" s="5">
        <f t="shared" si="0"/>
        <v>65902.032000000007</v>
      </c>
      <c r="G11" s="5">
        <v>8262.8700000000008</v>
      </c>
      <c r="H11" s="5">
        <v>8235.49</v>
      </c>
      <c r="I11" s="5">
        <f t="shared" si="1"/>
        <v>65929.411999999997</v>
      </c>
      <c r="J11" s="5">
        <v>31723.73</v>
      </c>
      <c r="K11" s="5">
        <v>3483.57</v>
      </c>
      <c r="L11" s="5">
        <v>5523.53</v>
      </c>
      <c r="M11" s="5"/>
    </row>
    <row r="12" spans="2:13" x14ac:dyDescent="0.3"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2:13" x14ac:dyDescent="0.3"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2:13" x14ac:dyDescent="0.3"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2:13" x14ac:dyDescent="0.3"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2:13" x14ac:dyDescent="0.3"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13" x14ac:dyDescent="0.3">
      <c r="B17">
        <v>11</v>
      </c>
      <c r="C17" t="s">
        <v>22</v>
      </c>
      <c r="D17" s="5">
        <v>2181.1</v>
      </c>
      <c r="E17" s="5">
        <v>28.22</v>
      </c>
      <c r="F17" s="5">
        <f t="shared" si="0"/>
        <v>61550.641999999993</v>
      </c>
      <c r="G17" s="5">
        <v>2472.67</v>
      </c>
      <c r="H17" s="5">
        <v>1705.23</v>
      </c>
      <c r="I17" s="5">
        <f t="shared" si="1"/>
        <v>62318.081999999988</v>
      </c>
      <c r="J17" s="5">
        <v>13321.74</v>
      </c>
      <c r="K17" s="5">
        <v>1047.1500000000001</v>
      </c>
      <c r="L17" s="5">
        <v>1979.1</v>
      </c>
      <c r="M17" s="5"/>
    </row>
    <row r="18" spans="2:13" x14ac:dyDescent="0.3">
      <c r="B18">
        <v>12</v>
      </c>
      <c r="C18" t="s">
        <v>23</v>
      </c>
      <c r="D18" s="5">
        <v>4806.7</v>
      </c>
      <c r="E18" s="5">
        <v>11.96</v>
      </c>
      <c r="F18" s="5">
        <f t="shared" si="0"/>
        <v>57488.132000000005</v>
      </c>
      <c r="G18" s="5">
        <v>1380.9</v>
      </c>
      <c r="H18" s="5">
        <v>1563.08</v>
      </c>
      <c r="I18" s="5">
        <f t="shared" si="1"/>
        <v>57305.952000000005</v>
      </c>
      <c r="J18" s="5">
        <v>12964.52</v>
      </c>
      <c r="K18" s="5">
        <v>2215.38</v>
      </c>
      <c r="L18" s="5">
        <v>2648.73</v>
      </c>
      <c r="M18" s="5"/>
    </row>
    <row r="19" spans="2:13" x14ac:dyDescent="0.3">
      <c r="B19">
        <v>13</v>
      </c>
      <c r="C19" t="s">
        <v>24</v>
      </c>
      <c r="D19" s="5">
        <v>3243.8</v>
      </c>
      <c r="E19" s="5">
        <v>16.940000000000001</v>
      </c>
      <c r="F19" s="5">
        <f t="shared" si="0"/>
        <v>54949.972000000009</v>
      </c>
      <c r="G19" s="5">
        <v>9.9499999999999993</v>
      </c>
      <c r="H19" s="5">
        <v>1403.52</v>
      </c>
      <c r="I19" s="5">
        <f t="shared" si="1"/>
        <v>53556.402000000009</v>
      </c>
      <c r="J19" s="5">
        <v>3749.21</v>
      </c>
      <c r="K19" s="5">
        <v>927.58</v>
      </c>
      <c r="L19" s="5">
        <v>1188.3599999999999</v>
      </c>
      <c r="M19" s="5"/>
    </row>
    <row r="20" spans="2:13" x14ac:dyDescent="0.3">
      <c r="B20">
        <v>14</v>
      </c>
      <c r="C20" t="s">
        <v>25</v>
      </c>
      <c r="D20" s="5">
        <v>374.2</v>
      </c>
      <c r="E20" s="5">
        <v>133.69999999999999</v>
      </c>
      <c r="F20" s="5">
        <f t="shared" si="0"/>
        <v>50030.539999999994</v>
      </c>
      <c r="G20" s="5">
        <v>18362</v>
      </c>
      <c r="H20" s="5">
        <v>4120.2</v>
      </c>
      <c r="I20" s="5">
        <f t="shared" si="1"/>
        <v>64272.34</v>
      </c>
      <c r="J20" s="5">
        <v>15261.7</v>
      </c>
      <c r="K20" s="5">
        <v>1429.4</v>
      </c>
      <c r="L20" s="5">
        <v>2687.5</v>
      </c>
      <c r="M20" s="5"/>
    </row>
    <row r="21" spans="2:13" x14ac:dyDescent="0.3">
      <c r="B21">
        <v>15</v>
      </c>
      <c r="C21" t="s">
        <v>26</v>
      </c>
      <c r="D21" s="5">
        <v>790.2</v>
      </c>
      <c r="E21" s="5">
        <v>53.96</v>
      </c>
      <c r="F21" s="5">
        <f t="shared" si="0"/>
        <v>42639.192000000003</v>
      </c>
      <c r="G21" s="5">
        <v>2763.73</v>
      </c>
      <c r="H21" s="5">
        <v>144.21</v>
      </c>
      <c r="I21" s="5">
        <f t="shared" si="1"/>
        <v>45258.712000000007</v>
      </c>
      <c r="J21" s="5">
        <v>5553.96</v>
      </c>
      <c r="K21" s="5">
        <v>358.34</v>
      </c>
      <c r="L21" s="5">
        <v>643.24</v>
      </c>
      <c r="M21" s="5"/>
    </row>
    <row r="22" spans="2:13" x14ac:dyDescent="0.3">
      <c r="B22">
        <v>16</v>
      </c>
      <c r="C22" t="s">
        <v>28</v>
      </c>
      <c r="D22" s="5">
        <v>1017.95</v>
      </c>
      <c r="E22" s="5">
        <v>38.26</v>
      </c>
      <c r="F22" s="5">
        <f t="shared" si="0"/>
        <v>38946.767</v>
      </c>
      <c r="G22" s="5">
        <v>279.07</v>
      </c>
      <c r="H22" s="5">
        <v>88.67</v>
      </c>
      <c r="I22" s="5">
        <f t="shared" si="1"/>
        <v>39137.167000000001</v>
      </c>
      <c r="J22" s="5">
        <v>1197.58</v>
      </c>
      <c r="K22" s="5">
        <v>264.77</v>
      </c>
      <c r="L22" s="5">
        <v>356.27</v>
      </c>
      <c r="M22" s="5"/>
    </row>
    <row r="23" spans="2:13" x14ac:dyDescent="0.3">
      <c r="B23">
        <v>17</v>
      </c>
      <c r="C23" t="s">
        <v>29</v>
      </c>
      <c r="D23" s="5">
        <v>1449.6</v>
      </c>
      <c r="E23" s="5">
        <v>25.37</v>
      </c>
      <c r="F23" s="5">
        <f t="shared" si="0"/>
        <v>36776.351999999999</v>
      </c>
      <c r="G23" s="5">
        <v>1362.74</v>
      </c>
      <c r="H23" s="5">
        <v>344.23</v>
      </c>
      <c r="I23" s="5">
        <f t="shared" si="1"/>
        <v>37794.861999999994</v>
      </c>
      <c r="J23" s="5">
        <v>8939.59</v>
      </c>
      <c r="K23" s="5">
        <v>785.24</v>
      </c>
      <c r="L23" s="5">
        <v>1421.12</v>
      </c>
      <c r="M23" s="5"/>
    </row>
    <row r="24" spans="2:13" x14ac:dyDescent="0.3">
      <c r="B24">
        <v>18</v>
      </c>
      <c r="C24" t="s">
        <v>30</v>
      </c>
      <c r="D24" s="5">
        <v>2626.5</v>
      </c>
      <c r="E24" s="5">
        <v>12.49</v>
      </c>
      <c r="F24" s="5">
        <f t="shared" si="0"/>
        <v>32804.985000000001</v>
      </c>
      <c r="G24" s="5">
        <v>47.42</v>
      </c>
      <c r="H24" s="5">
        <v>176.24</v>
      </c>
      <c r="I24" s="5">
        <f t="shared" si="1"/>
        <v>32676.164999999997</v>
      </c>
      <c r="J24" s="5">
        <v>4648.1000000000004</v>
      </c>
      <c r="K24" s="5">
        <v>920.39</v>
      </c>
      <c r="L24" s="5">
        <v>1204.32</v>
      </c>
      <c r="M24" s="5"/>
    </row>
    <row r="25" spans="2:13" x14ac:dyDescent="0.3">
      <c r="B25">
        <v>19</v>
      </c>
      <c r="C25" t="s">
        <v>31</v>
      </c>
      <c r="D25" s="5">
        <v>1859</v>
      </c>
      <c r="E25" s="5">
        <v>16.48</v>
      </c>
      <c r="F25" s="5">
        <f t="shared" si="0"/>
        <v>30636.32</v>
      </c>
      <c r="G25" s="5">
        <v>313.73</v>
      </c>
      <c r="H25" s="5">
        <v>2556.21</v>
      </c>
      <c r="I25" s="5">
        <f t="shared" si="1"/>
        <v>28393.84</v>
      </c>
      <c r="J25" s="5">
        <v>5616.5</v>
      </c>
      <c r="K25" s="5">
        <v>698.53</v>
      </c>
      <c r="L25" s="5">
        <v>1104.6600000000001</v>
      </c>
      <c r="M25" s="5"/>
    </row>
    <row r="26" spans="2:13" x14ac:dyDescent="0.3">
      <c r="B26">
        <v>20</v>
      </c>
      <c r="C26" t="s">
        <v>32</v>
      </c>
      <c r="D26" s="5">
        <v>1757.1</v>
      </c>
      <c r="E26" s="5">
        <v>16.25</v>
      </c>
      <c r="F26" s="5">
        <f t="shared" si="0"/>
        <v>28552.875</v>
      </c>
      <c r="G26" s="5">
        <v>2021</v>
      </c>
      <c r="H26" s="5">
        <v>191</v>
      </c>
      <c r="I26" s="5">
        <f t="shared" si="1"/>
        <v>30382.875</v>
      </c>
      <c r="J26" s="5">
        <v>3012</v>
      </c>
      <c r="K26" s="5">
        <v>-57</v>
      </c>
      <c r="L26" s="5">
        <v>238</v>
      </c>
      <c r="M26" s="5"/>
    </row>
    <row r="27" spans="2:13" x14ac:dyDescent="0.3">
      <c r="B27">
        <v>21</v>
      </c>
      <c r="C27" t="s">
        <v>33</v>
      </c>
      <c r="D27" s="5">
        <v>200.98</v>
      </c>
      <c r="E27" s="5">
        <v>132.91999999999999</v>
      </c>
      <c r="F27" s="5">
        <f t="shared" si="0"/>
        <v>26714.261599999994</v>
      </c>
      <c r="G27" s="5">
        <v>4856.47</v>
      </c>
      <c r="H27" s="5">
        <v>501.46</v>
      </c>
      <c r="I27" s="5">
        <f t="shared" si="1"/>
        <v>31069.271599999996</v>
      </c>
      <c r="J27" s="5">
        <v>9151.18</v>
      </c>
      <c r="K27" s="5">
        <v>91.13</v>
      </c>
      <c r="L27" s="5">
        <v>825.74</v>
      </c>
      <c r="M27" s="5"/>
    </row>
    <row r="28" spans="2:13" x14ac:dyDescent="0.3">
      <c r="B28">
        <v>22</v>
      </c>
      <c r="C28" t="s">
        <v>34</v>
      </c>
      <c r="D28" s="5">
        <v>5517</v>
      </c>
      <c r="E28" s="5">
        <v>4.57</v>
      </c>
      <c r="F28" s="5">
        <f t="shared" si="0"/>
        <v>25212.690000000002</v>
      </c>
      <c r="G28" s="5">
        <v>40.78</v>
      </c>
      <c r="H28" s="5">
        <v>2800.98</v>
      </c>
      <c r="I28" s="5">
        <f t="shared" si="1"/>
        <v>22452.49</v>
      </c>
      <c r="J28" s="5">
        <v>2281.35</v>
      </c>
      <c r="K28" s="5">
        <v>767.6</v>
      </c>
      <c r="L28" s="5">
        <v>853.31</v>
      </c>
      <c r="M28" s="5"/>
    </row>
    <row r="29" spans="2:13" x14ac:dyDescent="0.3">
      <c r="B29">
        <v>23</v>
      </c>
      <c r="C29" t="s">
        <v>35</v>
      </c>
      <c r="D29" s="5">
        <v>1608.6</v>
      </c>
      <c r="E29" s="5">
        <v>15.61</v>
      </c>
      <c r="F29" s="5">
        <f t="shared" si="0"/>
        <v>25110.245999999999</v>
      </c>
      <c r="G29" s="5">
        <v>21.53</v>
      </c>
      <c r="H29" s="5">
        <v>129.44999999999999</v>
      </c>
      <c r="I29" s="5">
        <f t="shared" si="1"/>
        <v>25002.325999999997</v>
      </c>
      <c r="J29" s="5">
        <v>3917.99</v>
      </c>
      <c r="K29" s="5">
        <v>659.58</v>
      </c>
      <c r="L29" s="5">
        <v>899.12</v>
      </c>
      <c r="M29" s="5"/>
    </row>
    <row r="30" spans="2:13" x14ac:dyDescent="0.3">
      <c r="B30">
        <v>24</v>
      </c>
      <c r="C30" t="s">
        <v>36</v>
      </c>
      <c r="D30" s="5">
        <v>1297.2</v>
      </c>
      <c r="E30" s="5">
        <v>18.95</v>
      </c>
      <c r="F30" s="5">
        <f t="shared" si="0"/>
        <v>24581.94</v>
      </c>
      <c r="G30" s="5">
        <v>1022.75</v>
      </c>
      <c r="H30" s="5">
        <v>165.3</v>
      </c>
      <c r="I30" s="5">
        <f t="shared" si="1"/>
        <v>25439.39</v>
      </c>
      <c r="J30" s="5">
        <v>7896</v>
      </c>
      <c r="K30" s="5">
        <v>707.47</v>
      </c>
      <c r="L30" s="5">
        <v>1157.51</v>
      </c>
      <c r="M30" s="5"/>
    </row>
    <row r="31" spans="2:13" x14ac:dyDescent="0.3">
      <c r="B31">
        <v>25</v>
      </c>
      <c r="C31" t="s">
        <v>37</v>
      </c>
      <c r="D31" s="5">
        <v>1709.8</v>
      </c>
      <c r="E31" s="5">
        <v>13.62</v>
      </c>
      <c r="F31" s="5">
        <f t="shared" si="0"/>
        <v>23287.475999999999</v>
      </c>
      <c r="G31" s="5">
        <v>2477.92</v>
      </c>
      <c r="H31" s="5">
        <v>222.83</v>
      </c>
      <c r="I31" s="5">
        <f t="shared" si="1"/>
        <v>25542.565999999999</v>
      </c>
      <c r="J31" s="5">
        <v>2893.64</v>
      </c>
      <c r="K31" s="5">
        <v>374.67</v>
      </c>
      <c r="L31" s="5">
        <v>718.08</v>
      </c>
      <c r="M31" s="5"/>
    </row>
    <row r="32" spans="2:13" x14ac:dyDescent="0.3">
      <c r="B32">
        <v>26</v>
      </c>
      <c r="C32" t="s">
        <v>38</v>
      </c>
      <c r="D32" s="5">
        <v>9241.5</v>
      </c>
      <c r="E32" s="5">
        <v>2.5</v>
      </c>
      <c r="F32" s="5">
        <f t="shared" si="0"/>
        <v>23103.75</v>
      </c>
      <c r="G32" s="5">
        <v>35.729999999999997</v>
      </c>
      <c r="H32" s="5">
        <v>536.70000000000005</v>
      </c>
      <c r="I32" s="5">
        <f t="shared" si="1"/>
        <v>22602.78</v>
      </c>
      <c r="J32" s="5">
        <v>1716.29</v>
      </c>
      <c r="K32" s="5">
        <v>115.74</v>
      </c>
      <c r="L32" s="5">
        <v>254.61</v>
      </c>
    </row>
    <row r="33" spans="2:12" x14ac:dyDescent="0.3">
      <c r="B33">
        <v>27</v>
      </c>
      <c r="C33" t="s">
        <v>39</v>
      </c>
      <c r="D33" s="5">
        <v>1979.4</v>
      </c>
      <c r="E33" s="5">
        <v>11.45</v>
      </c>
      <c r="F33" s="5">
        <f t="shared" si="0"/>
        <v>22664.13</v>
      </c>
      <c r="G33" s="5">
        <v>942.44</v>
      </c>
      <c r="H33" s="5">
        <v>300.89999999999998</v>
      </c>
      <c r="I33" s="5">
        <f t="shared" si="1"/>
        <v>23305.67</v>
      </c>
      <c r="J33" s="5">
        <v>1444.85</v>
      </c>
      <c r="K33" s="5">
        <v>-17.97</v>
      </c>
      <c r="L33" s="5">
        <v>210.11</v>
      </c>
    </row>
    <row r="34" spans="2:12" x14ac:dyDescent="0.3">
      <c r="B34">
        <v>28</v>
      </c>
      <c r="C34" t="s">
        <v>40</v>
      </c>
      <c r="D34" s="5">
        <v>976.6</v>
      </c>
      <c r="E34" s="5">
        <v>19.66</v>
      </c>
      <c r="F34" s="5">
        <f t="shared" si="0"/>
        <v>19199.956000000002</v>
      </c>
      <c r="G34" s="5">
        <v>1257.5</v>
      </c>
      <c r="H34" s="5">
        <v>90.1</v>
      </c>
      <c r="I34" s="5">
        <f t="shared" si="1"/>
        <v>20367.356000000003</v>
      </c>
      <c r="J34" s="5">
        <v>6672.08</v>
      </c>
      <c r="K34" s="5">
        <v>582.01</v>
      </c>
      <c r="L34" s="5">
        <v>768.76</v>
      </c>
    </row>
    <row r="35" spans="2:12" x14ac:dyDescent="0.3">
      <c r="B35">
        <v>29</v>
      </c>
      <c r="C35" t="s">
        <v>41</v>
      </c>
      <c r="D35" s="5">
        <v>1803.3</v>
      </c>
      <c r="E35" s="5">
        <v>10.46</v>
      </c>
      <c r="F35" s="5">
        <f t="shared" si="0"/>
        <v>18862.518</v>
      </c>
      <c r="G35" s="5">
        <v>2.97</v>
      </c>
      <c r="H35" s="5">
        <v>1.18</v>
      </c>
      <c r="I35" s="5">
        <f t="shared" si="1"/>
        <v>18864.308000000001</v>
      </c>
      <c r="J35" s="5">
        <v>1200.0899999999999</v>
      </c>
      <c r="K35" s="5">
        <v>371.64</v>
      </c>
      <c r="L35" s="5">
        <v>495.09</v>
      </c>
    </row>
    <row r="36" spans="2:12" x14ac:dyDescent="0.3">
      <c r="B36">
        <v>30</v>
      </c>
      <c r="C36" t="s">
        <v>42</v>
      </c>
      <c r="D36" s="5">
        <v>1165.7</v>
      </c>
      <c r="E36" s="5">
        <v>15.93</v>
      </c>
      <c r="F36" s="5">
        <f t="shared" si="0"/>
        <v>18569.600999999999</v>
      </c>
      <c r="G36" s="5">
        <v>2731</v>
      </c>
      <c r="H36" s="5">
        <v>1088.8</v>
      </c>
      <c r="I36" s="5">
        <f t="shared" si="1"/>
        <v>20211.800999999999</v>
      </c>
      <c r="J36" s="5">
        <v>7234.5</v>
      </c>
      <c r="K36" s="5">
        <v>836.3</v>
      </c>
      <c r="L36" s="5">
        <v>861.4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 val.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vedhya</dc:creator>
  <cp:lastModifiedBy>veda Vedhya</cp:lastModifiedBy>
  <cp:lastPrinted>2025-07-17T16:21:32Z</cp:lastPrinted>
  <dcterms:created xsi:type="dcterms:W3CDTF">2015-06-05T18:17:20Z</dcterms:created>
  <dcterms:modified xsi:type="dcterms:W3CDTF">2025-07-17T16:21:58Z</dcterms:modified>
</cp:coreProperties>
</file>